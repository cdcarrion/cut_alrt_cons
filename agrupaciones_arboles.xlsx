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_U3M" sheetId="1" state="visible" r:id="rId3"/>
    <sheet name="CE_U6M" sheetId="2" state="visible" r:id="rId4"/>
    <sheet name="SE_U3M" sheetId="3" state="visible" r:id="rId5"/>
    <sheet name="SE_U6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<sst xmlns="http://schemas.openxmlformats.org/spreadsheetml/2006/main" count="419" uniqueCount="100">
  <si>
    <t xml:space="preserve">CE — avgSaldoCuentasU3M_woe + scoreBuro_woe</t>
  </si>
  <si>
    <t xml:space="preserve">AUC test 0.6845 / GINI test 0.3689  |  AUC train 0.6549 / GINI train 0.3098  |  Importancia: scoreBuro 79.0%, avgSaldoCuentasU3M 21.0%</t>
  </si>
  <si>
    <t xml:space="preserve">scoreBuro_woe  →</t>
  </si>
  <si>
    <t xml:space="preserve">avgSaldoCuentasU3M_woe  ↓</t>
  </si>
  <si>
    <t xml:space="preserve">&lt; 800 / missing</t>
  </si>
  <si>
    <t xml:space="preserve">800–893</t>
  </si>
  <si>
    <t xml:space="preserve">894–919</t>
  </si>
  <si>
    <t xml:space="preserve">920–959</t>
  </si>
  <si>
    <t xml:space="preserve">960–970</t>
  </si>
  <si>
    <t xml:space="preserve">971–978</t>
  </si>
  <si>
    <t xml:space="preserve">≥979</t>
  </si>
  <si>
    <t xml:space="preserve">≥ 793</t>
  </si>
  <si>
    <t xml:space="preserve">G3</t>
  </si>
  <si>
    <t xml:space="preserve">G7</t>
  </si>
  <si>
    <t xml:space="preserve">G8</t>
  </si>
  <si>
    <t xml:space="preserve">G9</t>
  </si>
  <si>
    <t xml:space="preserve">G11</t>
  </si>
  <si>
    <t xml:space="preserve">425–792</t>
  </si>
  <si>
    <t xml:space="preserve">133–424</t>
  </si>
  <si>
    <t xml:space="preserve">G5</t>
  </si>
  <si>
    <t xml:space="preserve">G10</t>
  </si>
  <si>
    <t xml:space="preserve">40–132</t>
  </si>
  <si>
    <t xml:space="preserve">G1</t>
  </si>
  <si>
    <t xml:space="preserve">G4</t>
  </si>
  <si>
    <t xml:space="preserve">G6</t>
  </si>
  <si>
    <t xml:space="preserve">≤ 39</t>
  </si>
  <si>
    <t xml:space="preserve">G2</t>
  </si>
  <si>
    <t xml:space="preserve">Missing</t>
  </si>
  <si>
    <t xml:space="preserve">Grupo</t>
  </si>
  <si>
    <t xml:space="preserve">Rango scoreBuro</t>
  </si>
  <si>
    <t xml:space="preserve">Rango avgSaldoCuentasU3M</t>
  </si>
  <si>
    <t xml:space="preserve">Peso Bueno</t>
  </si>
  <si>
    <t xml:space="preserve">Peso Malo</t>
  </si>
  <si>
    <t xml:space="preserve">Total</t>
  </si>
  <si>
    <t xml:space="preserve">% Muestra</t>
  </si>
  <si>
    <t xml:space="preserve">P(Malo)</t>
  </si>
  <si>
    <t xml:space="preserve">Clase</t>
  </si>
  <si>
    <t xml:space="preserve">425–792 a ≥ 793</t>
  </si>
  <si>
    <t xml:space="preserve">≤ 39 a 133–424 o Missing</t>
  </si>
  <si>
    <t xml:space="preserve">133–424 a ≥ 793 o Missing</t>
  </si>
  <si>
    <t xml:space="preserve">894–919 a 920–959</t>
  </si>
  <si>
    <t xml:space="preserve">960–970 a 971–978</t>
  </si>
  <si>
    <t xml:space="preserve">≤ 39 a 40–132</t>
  </si>
  <si>
    <t xml:space="preserve">40–132 o Missing</t>
  </si>
  <si>
    <t xml:space="preserve">&lt; 800 / missing a 800–893</t>
  </si>
  <si>
    <t xml:space="preserve">133–424 a ≥ 793</t>
  </si>
  <si>
    <t xml:space="preserve">&lt; 800 / missing a 894–919</t>
  </si>
  <si>
    <t xml:space="preserve">≤ 39 a 40–132 o Missing</t>
  </si>
  <si>
    <t xml:space="preserve">Peso Bueno / Peso Malo = conteo ponderado de train (weights de tree.export_text). Total, % Muestra, P(Malo) y Clase se calculan con fórmula.</t>
  </si>
  <si>
    <t xml:space="preserve">CE — avgSaldoCuentasU6M_woe + scoreBuro_woe</t>
  </si>
  <si>
    <t xml:space="preserve">AUC test 0.6678 / GINI test 0.3357  |  AUC train 0.6471 / GINI train 0.2942  |  Importancia: scoreBuro 40.4%, avgSaldoCuentasU6M 59.6%</t>
  </si>
  <si>
    <t xml:space="preserve">avgSaldoCuentasU6M_woe  ↓</t>
  </si>
  <si>
    <t xml:space="preserve">≥ 1120</t>
  </si>
  <si>
    <t xml:space="preserve">496–1119</t>
  </si>
  <si>
    <t xml:space="preserve">276–495</t>
  </si>
  <si>
    <t xml:space="preserve">68–275</t>
  </si>
  <si>
    <t xml:space="preserve">≤ 67</t>
  </si>
  <si>
    <t xml:space="preserve">Rango avgSaldoCuentasU6M</t>
  </si>
  <si>
    <t xml:space="preserve">496–1119 a ≥ 1120</t>
  </si>
  <si>
    <t xml:space="preserve">≤ 67 a 276–495 o Missing</t>
  </si>
  <si>
    <t xml:space="preserve">276–495 a ≥ 1120 o Missing</t>
  </si>
  <si>
    <t xml:space="preserve">≤ 67 a 68–275</t>
  </si>
  <si>
    <t xml:space="preserve">68–275 a 276–495 o Missing</t>
  </si>
  <si>
    <t xml:space="preserve">SE — avgSaldoCuentasU3M_woe + scoreBuro_woe</t>
  </si>
  <si>
    <t xml:space="preserve">AUC test 0.6445 / GINI test 0.2889  |  AUC train 0.6814 / GINI train 0.3629  |  Importancia: scoreBuro 34.1%, avgSaldoCuentasU3M 65.9%</t>
  </si>
  <si>
    <t xml:space="preserve">800–868</t>
  </si>
  <si>
    <t xml:space="preserve">869–872</t>
  </si>
  <si>
    <t xml:space="preserve">873–919</t>
  </si>
  <si>
    <t xml:space="preserve">920–939</t>
  </si>
  <si>
    <t xml:space="preserve">940–959</t>
  </si>
  <si>
    <t xml:space="preserve">960–971</t>
  </si>
  <si>
    <t xml:space="preserve">≥972</t>
  </si>
  <si>
    <t xml:space="preserve">≥ 658</t>
  </si>
  <si>
    <t xml:space="preserve">G12</t>
  </si>
  <si>
    <t xml:space="preserve">288–657</t>
  </si>
  <si>
    <t xml:space="preserve">154–287</t>
  </si>
  <si>
    <t xml:space="preserve">38–153</t>
  </si>
  <si>
    <t xml:space="preserve">≤ 37</t>
  </si>
  <si>
    <t xml:space="preserve">154–287 a ≥ 658</t>
  </si>
  <si>
    <t xml:space="preserve">940–959 a 960–971</t>
  </si>
  <si>
    <t xml:space="preserve">154–287 a 288–657</t>
  </si>
  <si>
    <t xml:space="preserve">940–959 a ≥972</t>
  </si>
  <si>
    <t xml:space="preserve">869–872 a 920–939</t>
  </si>
  <si>
    <t xml:space="preserve">&lt; 800 / missing a 800–868</t>
  </si>
  <si>
    <t xml:space="preserve">873–919 a 920–939</t>
  </si>
  <si>
    <t xml:space="preserve">&lt; 800 / missing a 869–872</t>
  </si>
  <si>
    <t xml:space="preserve">≤ 37 o Missing</t>
  </si>
  <si>
    <t xml:space="preserve">&lt; 800 / missing a 920–939</t>
  </si>
  <si>
    <t xml:space="preserve">SE — avgSaldoCuentasU6M_woe + scoreBuro_woe</t>
  </si>
  <si>
    <t xml:space="preserve">AUC test 0.6377 / GINI test 0.2754  |  AUC train 0.6751 / GINI train 0.3502  |  Importancia: scoreBuro 40.4%, avgSaldoCuentasU6M 59.6%</t>
  </si>
  <si>
    <t xml:space="preserve">≥ 866</t>
  </si>
  <si>
    <t xml:space="preserve">303–865</t>
  </si>
  <si>
    <t xml:space="preserve">167–302</t>
  </si>
  <si>
    <t xml:space="preserve">54–166</t>
  </si>
  <si>
    <t xml:space="preserve">≤ 53</t>
  </si>
  <si>
    <t xml:space="preserve">54–166 a ≥ 866</t>
  </si>
  <si>
    <t xml:space="preserve">303–865 a ≥ 866</t>
  </si>
  <si>
    <t xml:space="preserve">54–166 a 167–302</t>
  </si>
  <si>
    <t xml:space="preserve">&lt; 800 / missing a 873–919</t>
  </si>
  <si>
    <t xml:space="preserve">≤ 53 o Missing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</si>
</sst>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39">
    <fill>
      <patternFill patternType="none"/>
    </fill>
    <fill>
      <patternFill patternType="gray125"/>
    </fill>
    <fill>
      <patternFill patternType="solid">
        <fgColor rgb="FFCF6F7B"/>
        <bgColor rgb="FFD0717D"/>
      </patternFill>
    </fill>
    <fill>
      <patternFill patternType="solid">
        <fgColor rgb="FFFEFFFF"/>
        <bgColor rgb="FFFFFFFF"/>
      </patternFill>
    </fill>
    <fill>
      <patternFill patternType="solid">
        <fgColor rgb="FFD0DFED"/>
        <bgColor rgb="FFCFDEED"/>
      </patternFill>
    </fill>
    <fill>
      <patternFill patternType="solid">
        <fgColor rgb="FF8FB2D5"/>
        <bgColor rgb="FF92B4D6"/>
      </patternFill>
    </fill>
    <fill>
      <patternFill patternType="solid">
        <fgColor rgb="FF2166AC"/>
        <bgColor rgb="FF588CC1"/>
      </patternFill>
    </fill>
    <fill>
      <patternFill patternType="solid">
        <fgColor rgb="FFECC6CB"/>
        <bgColor rgb="FFEBC4C9"/>
      </patternFill>
    </fill>
    <fill>
      <patternFill patternType="solid">
        <fgColor rgb="FF80A7CF"/>
        <bgColor rgb="FF78A2CC"/>
      </patternFill>
    </fill>
    <fill>
      <patternFill patternType="solid">
        <fgColor rgb="FFB2182B"/>
        <bgColor rgb="FF800000"/>
      </patternFill>
    </fill>
    <fill>
      <patternFill patternType="solid">
        <fgColor rgb="FFDE9BA3"/>
        <bgColor rgb="FFE0A3AA"/>
      </patternFill>
    </fill>
    <fill>
      <patternFill patternType="solid">
        <fgColor rgb="FFF6E5E7"/>
        <bgColor rgb="FFF5E2E4"/>
      </patternFill>
    </fill>
    <fill>
      <patternFill patternType="solid">
        <fgColor rgb="FFCB6370"/>
        <bgColor rgb="FFCA616E"/>
      </patternFill>
    </fill>
    <fill>
      <patternFill patternType="solid">
        <fgColor rgb="FF404040"/>
        <bgColor rgb="FF555555"/>
      </patternFill>
    </fill>
    <fill>
      <patternFill patternType="solid">
        <fgColor rgb="FFCA616E"/>
        <bgColor rgb="FFCB6370"/>
      </patternFill>
    </fill>
    <fill>
      <patternFill patternType="solid">
        <fgColor rgb="FFF9EEF0"/>
        <bgColor rgb="FFF6E5E7"/>
      </patternFill>
    </fill>
    <fill>
      <patternFill patternType="solid">
        <fgColor rgb="FFCFDEED"/>
        <bgColor rgb="FFD0DFED"/>
      </patternFill>
    </fill>
    <fill>
      <patternFill patternType="solid">
        <fgColor rgb="FF9BBAD9"/>
        <bgColor rgb="FF92B4D6"/>
      </patternFill>
    </fill>
    <fill>
      <patternFill patternType="solid">
        <fgColor rgb="FFF5E2E4"/>
        <bgColor rgb="FFF6E5E7"/>
      </patternFill>
    </fill>
    <fill>
      <patternFill patternType="solid">
        <fgColor rgb="FFE0A3AA"/>
        <bgColor rgb="FFDE9BA3"/>
      </patternFill>
    </fill>
    <fill>
      <patternFill patternType="solid">
        <fgColor rgb="FF78A2CC"/>
        <bgColor rgb="FF729ECA"/>
      </patternFill>
    </fill>
    <fill>
      <patternFill patternType="solid">
        <fgColor rgb="FFFAFBFD"/>
        <bgColor rgb="FFFEFFFF"/>
      </patternFill>
    </fill>
    <fill>
      <patternFill patternType="solid">
        <fgColor rgb="FFCD6A76"/>
        <bgColor rgb="FFCF6F7B"/>
      </patternFill>
    </fill>
    <fill>
      <patternFill patternType="solid">
        <fgColor rgb="FFDCE7F2"/>
        <bgColor rgb="FFD0DFED"/>
      </patternFill>
    </fill>
    <fill>
      <patternFill patternType="solid">
        <fgColor rgb="FFBBD0E6"/>
        <bgColor rgb="FFB9CFE5"/>
      </patternFill>
    </fill>
    <fill>
      <patternFill patternType="solid">
        <fgColor rgb="FF588CC1"/>
        <bgColor rgb="FF729ECA"/>
      </patternFill>
    </fill>
    <fill>
      <patternFill patternType="solid">
        <fgColor rgb="FFEFCED2"/>
        <bgColor rgb="FFEDC9CE"/>
      </patternFill>
    </fill>
    <fill>
      <patternFill patternType="solid">
        <fgColor rgb="FFEFF4F9"/>
        <bgColor rgb="FFF9EEF0"/>
      </patternFill>
    </fill>
    <fill>
      <patternFill patternType="solid">
        <fgColor rgb="FF92B4D6"/>
        <bgColor rgb="FF8FB2D5"/>
      </patternFill>
    </fill>
    <fill>
      <patternFill patternType="solid">
        <fgColor rgb="FFD0717D"/>
        <bgColor rgb="FFCF6F7B"/>
      </patternFill>
    </fill>
    <fill>
      <patternFill patternType="solid">
        <fgColor rgb="FFEABFC5"/>
        <bgColor rgb="FFEBC4C9"/>
      </patternFill>
    </fill>
    <fill>
      <patternFill patternType="solid">
        <fgColor rgb="FFB9CFE5"/>
        <bgColor rgb="FFBBD0E6"/>
      </patternFill>
    </fill>
    <fill>
      <patternFill patternType="solid">
        <fgColor rgb="FFEBC4C9"/>
        <bgColor rgb="FFECC6CB"/>
      </patternFill>
    </fill>
    <fill>
      <patternFill patternType="solid">
        <fgColor rgb="FFACC6E0"/>
        <bgColor rgb="FFAEC7E1"/>
      </patternFill>
    </fill>
    <fill>
      <patternFill patternType="solid">
        <fgColor rgb="FF729ECA"/>
        <bgColor rgb="FF78A2CC"/>
      </patternFill>
    </fill>
    <fill>
      <patternFill patternType="solid">
        <fgColor rgb="FFDA9099"/>
        <bgColor rgb="FFDE9BA3"/>
      </patternFill>
    </fill>
    <fill>
      <patternFill patternType="solid">
        <fgColor rgb="FFF3DCDF"/>
        <bgColor rgb="FFF5E2E4"/>
      </patternFill>
    </fill>
    <fill>
      <patternFill patternType="solid">
        <fgColor rgb="FFAEC7E1"/>
        <bgColor rgb="FFACC6E0"/>
      </patternFill>
    </fill>
    <fill>
      <patternFill patternType="solid">
        <fgColor rgb="FFEDC9CE"/>
        <bgColor rgb="FFECC6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EDC9CE"/>
      <rgbColor rgb="FF0000FF"/>
      <rgbColor rgb="FFF3DCDF"/>
      <rgbColor rgb="FFFEFFFF"/>
      <rgbColor rgb="FFAEC7E1"/>
      <rgbColor rgb="FF800000"/>
      <rgbColor rgb="FFF6E5E7"/>
      <rgbColor rgb="FF000080"/>
      <rgbColor rgb="FFCF6F7B"/>
      <rgbColor rgb="FF800080"/>
      <rgbColor rgb="FFCFDEED"/>
      <rgbColor rgb="FFBBBBBB"/>
      <rgbColor rgb="FF777777"/>
      <rgbColor rgb="FF80A7CF"/>
      <rgbColor rgb="FFCA616E"/>
      <rgbColor rgb="FFFAFBFD"/>
      <rgbColor rgb="FFDCE7F2"/>
      <rgbColor rgb="FF660066"/>
      <rgbColor rgb="FFDA9099"/>
      <rgbColor rgb="FF2166AC"/>
      <rgbColor rgb="FFBBD0E6"/>
      <rgbColor rgb="FF000080"/>
      <rgbColor rgb="FFFF00FF"/>
      <rgbColor rgb="FFF5E2E4"/>
      <rgbColor rgb="FFB9CFE5"/>
      <rgbColor rgb="FF800080"/>
      <rgbColor rgb="FF800000"/>
      <rgbColor rgb="FFEBC4C9"/>
      <rgbColor rgb="FF0000FF"/>
      <rgbColor rgb="FF92B4D6"/>
      <rgbColor rgb="FFEFF4F9"/>
      <rgbColor rgb="FFD0DFED"/>
      <rgbColor rgb="FFF9EEF0"/>
      <rgbColor rgb="FFACC6E0"/>
      <rgbColor rgb="FFE0A3AA"/>
      <rgbColor rgb="FFDE9BA3"/>
      <rgbColor rgb="FFECC6CB"/>
      <rgbColor rgb="FF8FB2D5"/>
      <rgbColor rgb="FF729ECA"/>
      <rgbColor rgb="FF9BBAD9"/>
      <rgbColor rgb="FFEABFC5"/>
      <rgbColor rgb="FFD0717D"/>
      <rgbColor rgb="FFCD6A76"/>
      <rgbColor rgb="FF555555"/>
      <rgbColor rgb="FF78A2CC"/>
      <rgbColor rgb="FF003366"/>
      <rgbColor rgb="FF588CC1"/>
      <rgbColor rgb="FF003300"/>
      <rgbColor rgb="FF333300"/>
      <rgbColor rgb="FFB2182B"/>
      <rgbColor rgb="FFCB6370"/>
      <rgbColor rgb="FFEFCED2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customFormat="false" ht="21.75" hidden="false" customHeight="true" outlineLevel="0" collapsed="false">
      <c r="A5" s="5" t="s">
        <v>11</v>
      </c>
      <c r="B5" s="6" t="s">
        <v>12</v>
      </c>
      <c r="C5" s="6" t="s">
        <v>12</v>
      </c>
      <c r="D5" s="7" t="s">
        <v>13</v>
      </c>
      <c r="E5" s="7" t="s">
        <v>13</v>
      </c>
      <c r="F5" s="8" t="s">
        <v>14</v>
      </c>
      <c r="G5" s="9" t="s">
        <v>15</v>
      </c>
      <c r="H5" s="10" t="s">
        <v>16</v>
      </c>
    </row>
    <row r="6" customFormat="false" ht="21.75" hidden="false" customHeight="true" outlineLevel="0" collapsed="false">
      <c r="A6" s="5" t="s">
        <v>17</v>
      </c>
      <c r="B6" s="6" t="s">
        <v>12</v>
      </c>
      <c r="C6" s="6" t="s">
        <v>12</v>
      </c>
      <c r="D6" s="7" t="s">
        <v>13</v>
      </c>
      <c r="E6" s="7" t="s">
        <v>13</v>
      </c>
      <c r="F6" s="8" t="s">
        <v>14</v>
      </c>
      <c r="G6" s="9" t="s">
        <v>15</v>
      </c>
      <c r="H6" s="10" t="s">
        <v>16</v>
      </c>
    </row>
    <row r="7" customFormat="false" ht="21.75" hidden="false" customHeight="true" outlineLevel="0" collapsed="false">
      <c r="A7" s="5" t="s">
        <v>18</v>
      </c>
      <c r="B7" s="6" t="s">
        <v>12</v>
      </c>
      <c r="C7" s="6" t="s">
        <v>12</v>
      </c>
      <c r="D7" s="11" t="s">
        <v>19</v>
      </c>
      <c r="E7" s="11" t="s">
        <v>19</v>
      </c>
      <c r="F7" s="8" t="s">
        <v>14</v>
      </c>
      <c r="G7" s="9" t="s">
        <v>15</v>
      </c>
      <c r="H7" s="12" t="s">
        <v>20</v>
      </c>
    </row>
    <row r="8" customFormat="false" ht="21.75" hidden="false" customHeight="true" outlineLevel="0" collapsed="false">
      <c r="A8" s="5" t="s">
        <v>21</v>
      </c>
      <c r="B8" s="13" t="s">
        <v>22</v>
      </c>
      <c r="C8" s="13" t="s">
        <v>22</v>
      </c>
      <c r="D8" s="13" t="s">
        <v>22</v>
      </c>
      <c r="E8" s="14" t="s">
        <v>23</v>
      </c>
      <c r="F8" s="15" t="s">
        <v>24</v>
      </c>
      <c r="G8" s="15" t="s">
        <v>24</v>
      </c>
      <c r="H8" s="12" t="s">
        <v>20</v>
      </c>
    </row>
    <row r="9" customFormat="false" ht="21.75" hidden="false" customHeight="true" outlineLevel="0" collapsed="false">
      <c r="A9" s="5" t="s">
        <v>25</v>
      </c>
      <c r="B9" s="13" t="s">
        <v>22</v>
      </c>
      <c r="C9" s="13" t="s">
        <v>22</v>
      </c>
      <c r="D9" s="13" t="s">
        <v>22</v>
      </c>
      <c r="E9" s="16" t="s">
        <v>26</v>
      </c>
      <c r="F9" s="15" t="s">
        <v>24</v>
      </c>
      <c r="G9" s="15" t="s">
        <v>24</v>
      </c>
      <c r="H9" s="12" t="s">
        <v>20</v>
      </c>
    </row>
    <row r="10" customFormat="false" ht="21.75" hidden="false" customHeight="true" outlineLevel="0" collapsed="false">
      <c r="A10" s="5" t="s">
        <v>27</v>
      </c>
      <c r="B10" s="13" t="s">
        <v>22</v>
      </c>
      <c r="C10" s="13" t="s">
        <v>22</v>
      </c>
      <c r="D10" s="13" t="s">
        <v>22</v>
      </c>
      <c r="E10" s="14" t="s">
        <v>23</v>
      </c>
      <c r="F10" s="8" t="s">
        <v>14</v>
      </c>
      <c r="G10" s="9" t="s">
        <v>15</v>
      </c>
      <c r="H10" s="12" t="s">
        <v>20</v>
      </c>
    </row>
    <row r="13" customFormat="false" ht="23.85" hidden="false" customHeight="false" outlineLevel="0" collapsed="false">
      <c r="A13" s="17" t="s">
        <v>28</v>
      </c>
      <c r="B13" s="17" t="s">
        <v>29</v>
      </c>
      <c r="C13" s="17" t="s">
        <v>30</v>
      </c>
      <c r="D13" s="17" t="s">
        <v>31</v>
      </c>
      <c r="E13" s="17" t="s">
        <v>32</v>
      </c>
      <c r="F13" s="17" t="s">
        <v>33</v>
      </c>
      <c r="G13" s="17" t="s">
        <v>34</v>
      </c>
      <c r="H13" s="17" t="s">
        <v>35</v>
      </c>
      <c r="I13" s="17" t="s">
        <v>36</v>
      </c>
    </row>
    <row r="14" customFormat="false" ht="15" hidden="false" customHeight="false" outlineLevel="0" collapsed="false">
      <c r="A14" s="18" t="s">
        <v>16</v>
      </c>
      <c r="B14" s="19" t="s">
        <v>10</v>
      </c>
      <c r="C14" s="19" t="s">
        <v>37</v>
      </c>
      <c r="D14" s="20" t="n">
        <v>4320.85</v>
      </c>
      <c r="E14" s="20" t="n">
        <v>1021.86</v>
      </c>
      <c r="F14" s="21" t="n">
        <f aca="false">D14+E14</f>
        <v>5342.71</v>
      </c>
      <c r="G14" s="22" t="n">
        <f aca="false">F14/SUM($F$14:$F$24)</f>
        <v>0.0551754386055502</v>
      </c>
      <c r="H14" s="22" t="n">
        <f aca="false">E14/F14</f>
        <v>0.191262486640675</v>
      </c>
      <c r="I14" s="23" t="str">
        <f aca="false">IF(H14&gt;=0.5,"Malo","Bueno")</f>
        <v>Bueno</v>
      </c>
    </row>
    <row r="15" customFormat="false" ht="15" hidden="false" customHeight="false" outlineLevel="0" collapsed="false">
      <c r="A15" s="24" t="s">
        <v>20</v>
      </c>
      <c r="B15" s="19" t="s">
        <v>10</v>
      </c>
      <c r="C15" s="19" t="s">
        <v>38</v>
      </c>
      <c r="D15" s="20" t="n">
        <v>3271.8</v>
      </c>
      <c r="E15" s="20" t="n">
        <v>1411.14</v>
      </c>
      <c r="F15" s="21" t="n">
        <f aca="false">D15+E15</f>
        <v>4682.94</v>
      </c>
      <c r="G15" s="22" t="n">
        <f aca="false">F15/SUM($F$14:$F$24)</f>
        <v>0.0483618366827837</v>
      </c>
      <c r="H15" s="22" t="n">
        <f aca="false">E15/F15</f>
        <v>0.301336339991544</v>
      </c>
      <c r="I15" s="23" t="str">
        <f aca="false">IF(H15&gt;=0.5,"Malo","Bueno")</f>
        <v>Bueno</v>
      </c>
    </row>
    <row r="16" customFormat="false" ht="15" hidden="false" customHeight="false" outlineLevel="0" collapsed="false">
      <c r="A16" s="25" t="s">
        <v>15</v>
      </c>
      <c r="B16" s="19" t="s">
        <v>9</v>
      </c>
      <c r="C16" s="19" t="s">
        <v>39</v>
      </c>
      <c r="D16" s="20" t="n">
        <v>4021.64</v>
      </c>
      <c r="E16" s="20" t="n">
        <v>1881.52</v>
      </c>
      <c r="F16" s="21" t="n">
        <f aca="false">D16+E16</f>
        <v>5903.16</v>
      </c>
      <c r="G16" s="22" t="n">
        <f aca="false">F16/SUM($F$14:$F$24)</f>
        <v>0.060963339233973</v>
      </c>
      <c r="H16" s="22" t="n">
        <f aca="false">E16/F16</f>
        <v>0.318730984760704</v>
      </c>
      <c r="I16" s="23" t="str">
        <f aca="false">IF(H16&gt;=0.5,"Malo","Bueno")</f>
        <v>Bueno</v>
      </c>
    </row>
    <row r="17" customFormat="false" ht="15" hidden="false" customHeight="false" outlineLevel="0" collapsed="false">
      <c r="A17" s="26" t="s">
        <v>14</v>
      </c>
      <c r="B17" s="19" t="s">
        <v>8</v>
      </c>
      <c r="C17" s="19" t="s">
        <v>39</v>
      </c>
      <c r="D17" s="20" t="n">
        <v>5175.23</v>
      </c>
      <c r="E17" s="20" t="n">
        <v>3373.76</v>
      </c>
      <c r="F17" s="21" t="n">
        <f aca="false">D17+E17</f>
        <v>8548.99</v>
      </c>
      <c r="G17" s="22" t="n">
        <f aca="false">F17/SUM($F$14:$F$24)</f>
        <v>0.0882874557826389</v>
      </c>
      <c r="H17" s="22" t="n">
        <f aca="false">E17/F17</f>
        <v>0.394638430972548</v>
      </c>
      <c r="I17" s="23" t="str">
        <f aca="false">IF(H17&gt;=0.5,"Malo","Bueno")</f>
        <v>Bueno</v>
      </c>
    </row>
    <row r="18" customFormat="false" ht="15" hidden="false" customHeight="false" outlineLevel="0" collapsed="false">
      <c r="A18" s="27" t="s">
        <v>13</v>
      </c>
      <c r="B18" s="19" t="s">
        <v>40</v>
      </c>
      <c r="C18" s="19" t="s">
        <v>37</v>
      </c>
      <c r="D18" s="20" t="n">
        <v>5647.49</v>
      </c>
      <c r="E18" s="20" t="n">
        <v>4590.26</v>
      </c>
      <c r="F18" s="21" t="n">
        <f aca="false">D18+E18</f>
        <v>10237.75</v>
      </c>
      <c r="G18" s="22" t="n">
        <f aca="false">F18/SUM($F$14:$F$24)</f>
        <v>0.105727682502695</v>
      </c>
      <c r="H18" s="22" t="n">
        <f aca="false">E18/F18</f>
        <v>0.44836609606603</v>
      </c>
      <c r="I18" s="23" t="str">
        <f aca="false">IF(H18&gt;=0.5,"Malo","Bueno")</f>
        <v>Bueno</v>
      </c>
    </row>
    <row r="19" customFormat="false" ht="15" hidden="false" customHeight="false" outlineLevel="0" collapsed="false">
      <c r="A19" s="28" t="s">
        <v>24</v>
      </c>
      <c r="B19" s="19" t="s">
        <v>41</v>
      </c>
      <c r="C19" s="19" t="s">
        <v>42</v>
      </c>
      <c r="D19" s="20" t="n">
        <v>3561.74</v>
      </c>
      <c r="E19" s="20" t="n">
        <v>3260.22</v>
      </c>
      <c r="F19" s="21" t="n">
        <f aca="false">D19+E19</f>
        <v>6821.96</v>
      </c>
      <c r="G19" s="22" t="n">
        <f aca="false">F19/SUM($F$14:$F$24)</f>
        <v>0.0704520056580872</v>
      </c>
      <c r="H19" s="22" t="n">
        <f aca="false">E19/F19</f>
        <v>0.477900779248193</v>
      </c>
      <c r="I19" s="23" t="str">
        <f aca="false">IF(H19&gt;=0.5,"Malo","Bueno")</f>
        <v>Bueno</v>
      </c>
    </row>
    <row r="20" customFormat="false" ht="15" hidden="false" customHeight="false" outlineLevel="0" collapsed="false">
      <c r="A20" s="29" t="s">
        <v>19</v>
      </c>
      <c r="B20" s="19" t="s">
        <v>40</v>
      </c>
      <c r="C20" s="19" t="s">
        <v>18</v>
      </c>
      <c r="D20" s="20" t="n">
        <v>8753.45</v>
      </c>
      <c r="E20" s="20" t="n">
        <v>9196.74</v>
      </c>
      <c r="F20" s="21" t="n">
        <f aca="false">D20+E20</f>
        <v>17950.19</v>
      </c>
      <c r="G20" s="22" t="n">
        <f aca="false">F20/SUM($F$14:$F$24)</f>
        <v>0.185375887200122</v>
      </c>
      <c r="H20" s="22" t="n">
        <f aca="false">E20/F20</f>
        <v>0.512347780162773</v>
      </c>
      <c r="I20" s="23" t="str">
        <f aca="false">IF(H20&gt;=0.5,"Malo","Bueno")</f>
        <v>Malo</v>
      </c>
    </row>
    <row r="21" customFormat="false" ht="15" hidden="false" customHeight="false" outlineLevel="0" collapsed="false">
      <c r="A21" s="30" t="s">
        <v>23</v>
      </c>
      <c r="B21" s="19" t="s">
        <v>7</v>
      </c>
      <c r="C21" s="19" t="s">
        <v>43</v>
      </c>
      <c r="D21" s="20" t="n">
        <v>2818.08</v>
      </c>
      <c r="E21" s="20" t="n">
        <v>3600.84</v>
      </c>
      <c r="F21" s="21" t="n">
        <f aca="false">D21+E21</f>
        <v>6418.92</v>
      </c>
      <c r="G21" s="22" t="n">
        <f aca="false">F21/SUM($F$14:$F$24)</f>
        <v>0.0662897155888937</v>
      </c>
      <c r="H21" s="22" t="n">
        <f aca="false">E21/F21</f>
        <v>0.560972873941411</v>
      </c>
      <c r="I21" s="23" t="str">
        <f aca="false">IF(H21&gt;=0.5,"Malo","Bueno")</f>
        <v>Malo</v>
      </c>
    </row>
    <row r="22" customFormat="false" ht="15" hidden="false" customHeight="false" outlineLevel="0" collapsed="false">
      <c r="A22" s="31" t="s">
        <v>12</v>
      </c>
      <c r="B22" s="19" t="s">
        <v>44</v>
      </c>
      <c r="C22" s="19" t="s">
        <v>45</v>
      </c>
      <c r="D22" s="20" t="n">
        <v>4224.03</v>
      </c>
      <c r="E22" s="20" t="n">
        <v>6601.54</v>
      </c>
      <c r="F22" s="21" t="n">
        <f aca="false">D22+E22</f>
        <v>10825.57</v>
      </c>
      <c r="G22" s="22" t="n">
        <f aca="false">F22/SUM($F$14:$F$24)</f>
        <v>0.111798239639637</v>
      </c>
      <c r="H22" s="22" t="n">
        <f aca="false">E22/F22</f>
        <v>0.609809922248898</v>
      </c>
      <c r="I22" s="23" t="str">
        <f aca="false">IF(H22&gt;=0.5,"Malo","Bueno")</f>
        <v>Malo</v>
      </c>
    </row>
    <row r="23" customFormat="false" ht="15" hidden="false" customHeight="false" outlineLevel="0" collapsed="false">
      <c r="A23" s="32" t="s">
        <v>26</v>
      </c>
      <c r="B23" s="19" t="s">
        <v>7</v>
      </c>
      <c r="C23" s="19" t="s">
        <v>25</v>
      </c>
      <c r="D23" s="20" t="n">
        <v>2568.3</v>
      </c>
      <c r="E23" s="20" t="n">
        <v>4249.64</v>
      </c>
      <c r="F23" s="21" t="n">
        <f aca="false">D23+E23</f>
        <v>6817.94</v>
      </c>
      <c r="G23" s="22" t="n">
        <f aca="false">F23/SUM($F$14:$F$24)</f>
        <v>0.0704104901606722</v>
      </c>
      <c r="H23" s="22" t="n">
        <f aca="false">E23/F23</f>
        <v>0.623302639800292</v>
      </c>
      <c r="I23" s="23" t="str">
        <f aca="false">IF(H23&gt;=0.5,"Malo","Bueno")</f>
        <v>Malo</v>
      </c>
    </row>
    <row r="24" customFormat="false" ht="15" hidden="false" customHeight="false" outlineLevel="0" collapsed="false">
      <c r="A24" s="33" t="s">
        <v>22</v>
      </c>
      <c r="B24" s="19" t="s">
        <v>46</v>
      </c>
      <c r="C24" s="19" t="s">
        <v>47</v>
      </c>
      <c r="D24" s="20" t="n">
        <v>3889.8</v>
      </c>
      <c r="E24" s="20" t="n">
        <v>9391.38</v>
      </c>
      <c r="F24" s="21" t="n">
        <f aca="false">D24+E24</f>
        <v>13281.18</v>
      </c>
      <c r="G24" s="22" t="n">
        <f aca="false">F24/SUM($F$14:$F$24)</f>
        <v>0.137157908944948</v>
      </c>
      <c r="H24" s="22" t="n">
        <f aca="false">E24/F24</f>
        <v>0.707119397523413</v>
      </c>
      <c r="I24" s="23" t="str">
        <f aca="false">IF(H24&gt;=0.5,"Malo","Bueno")</f>
        <v>Malo</v>
      </c>
    </row>
    <row r="26" customFormat="false" ht="15" hidden="false" customHeight="false" outlineLevel="0" collapsed="false">
      <c r="A26" s="34" t="s">
        <v>48</v>
      </c>
      <c r="B26" s="34"/>
      <c r="C26" s="34"/>
      <c r="D26" s="34"/>
      <c r="E26" s="34"/>
      <c r="F26" s="34"/>
      <c r="G26" s="34"/>
      <c r="H26" s="34"/>
      <c r="I26" s="34"/>
    </row>
  </sheetData>
  <mergeCells count="3">
    <mergeCell ref="A1:H1"/>
    <mergeCell ref="A2:H2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A4" s="3" t="s">
        <v>51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customFormat="false" ht="21.75" hidden="false" customHeight="true" outlineLevel="0" collapsed="false">
      <c r="A5" s="5" t="s">
        <v>52</v>
      </c>
      <c r="B5" s="35" t="s">
        <v>26</v>
      </c>
      <c r="C5" s="35" t="s">
        <v>26</v>
      </c>
      <c r="D5" s="36" t="s">
        <v>24</v>
      </c>
      <c r="E5" s="36" t="s">
        <v>24</v>
      </c>
      <c r="F5" s="37" t="s">
        <v>14</v>
      </c>
      <c r="G5" s="38" t="s">
        <v>15</v>
      </c>
      <c r="H5" s="10" t="s">
        <v>16</v>
      </c>
    </row>
    <row r="6" customFormat="false" ht="21.75" hidden="false" customHeight="true" outlineLevel="0" collapsed="false">
      <c r="A6" s="5" t="s">
        <v>53</v>
      </c>
      <c r="B6" s="35" t="s">
        <v>26</v>
      </c>
      <c r="C6" s="35" t="s">
        <v>26</v>
      </c>
      <c r="D6" s="39" t="s">
        <v>19</v>
      </c>
      <c r="E6" s="39" t="s">
        <v>19</v>
      </c>
      <c r="F6" s="37" t="s">
        <v>14</v>
      </c>
      <c r="G6" s="38" t="s">
        <v>15</v>
      </c>
      <c r="H6" s="10" t="s">
        <v>16</v>
      </c>
    </row>
    <row r="7" customFormat="false" ht="21.75" hidden="false" customHeight="true" outlineLevel="0" collapsed="false">
      <c r="A7" s="5" t="s">
        <v>54</v>
      </c>
      <c r="B7" s="35" t="s">
        <v>26</v>
      </c>
      <c r="C7" s="35" t="s">
        <v>26</v>
      </c>
      <c r="D7" s="40" t="s">
        <v>23</v>
      </c>
      <c r="E7" s="40" t="s">
        <v>23</v>
      </c>
      <c r="F7" s="37" t="s">
        <v>14</v>
      </c>
      <c r="G7" s="38" t="s">
        <v>15</v>
      </c>
      <c r="H7" s="41" t="s">
        <v>20</v>
      </c>
    </row>
    <row r="8" customFormat="false" ht="21.75" hidden="false" customHeight="true" outlineLevel="0" collapsed="false">
      <c r="A8" s="5" t="s">
        <v>55</v>
      </c>
      <c r="B8" s="13" t="s">
        <v>22</v>
      </c>
      <c r="C8" s="13" t="s">
        <v>22</v>
      </c>
      <c r="D8" s="40" t="s">
        <v>23</v>
      </c>
      <c r="E8" s="40" t="s">
        <v>23</v>
      </c>
      <c r="F8" s="42" t="s">
        <v>13</v>
      </c>
      <c r="G8" s="42" t="s">
        <v>13</v>
      </c>
      <c r="H8" s="41" t="s">
        <v>20</v>
      </c>
    </row>
    <row r="9" customFormat="false" ht="21.75" hidden="false" customHeight="true" outlineLevel="0" collapsed="false">
      <c r="A9" s="5" t="s">
        <v>56</v>
      </c>
      <c r="B9" s="13" t="s">
        <v>22</v>
      </c>
      <c r="C9" s="13" t="s">
        <v>22</v>
      </c>
      <c r="D9" s="43" t="s">
        <v>12</v>
      </c>
      <c r="E9" s="43" t="s">
        <v>12</v>
      </c>
      <c r="F9" s="42" t="s">
        <v>13</v>
      </c>
      <c r="G9" s="42" t="s">
        <v>13</v>
      </c>
      <c r="H9" s="41" t="s">
        <v>20</v>
      </c>
    </row>
    <row r="10" customFormat="false" ht="21.75" hidden="false" customHeight="true" outlineLevel="0" collapsed="false">
      <c r="A10" s="5" t="s">
        <v>27</v>
      </c>
      <c r="B10" s="35" t="s">
        <v>26</v>
      </c>
      <c r="C10" s="35" t="s">
        <v>26</v>
      </c>
      <c r="D10" s="40" t="s">
        <v>23</v>
      </c>
      <c r="E10" s="40" t="s">
        <v>23</v>
      </c>
      <c r="F10" s="37" t="s">
        <v>14</v>
      </c>
      <c r="G10" s="38" t="s">
        <v>15</v>
      </c>
      <c r="H10" s="41" t="s">
        <v>20</v>
      </c>
    </row>
    <row r="13" customFormat="false" ht="23.85" hidden="false" customHeight="false" outlineLevel="0" collapsed="false">
      <c r="A13" s="17" t="s">
        <v>28</v>
      </c>
      <c r="B13" s="17" t="s">
        <v>29</v>
      </c>
      <c r="C13" s="17" t="s">
        <v>57</v>
      </c>
      <c r="D13" s="17" t="s">
        <v>31</v>
      </c>
      <c r="E13" s="17" t="s">
        <v>32</v>
      </c>
      <c r="F13" s="17" t="s">
        <v>33</v>
      </c>
      <c r="G13" s="17" t="s">
        <v>34</v>
      </c>
      <c r="H13" s="17" t="s">
        <v>35</v>
      </c>
      <c r="I13" s="17" t="s">
        <v>36</v>
      </c>
    </row>
    <row r="14" customFormat="false" ht="15" hidden="false" customHeight="false" outlineLevel="0" collapsed="false">
      <c r="A14" s="18" t="s">
        <v>16</v>
      </c>
      <c r="B14" s="19" t="s">
        <v>10</v>
      </c>
      <c r="C14" s="19" t="s">
        <v>58</v>
      </c>
      <c r="D14" s="20" t="n">
        <v>4357.41</v>
      </c>
      <c r="E14" s="20" t="n">
        <v>1070.52</v>
      </c>
      <c r="F14" s="21" t="n">
        <f aca="false">D14+E14</f>
        <v>5427.93</v>
      </c>
      <c r="G14" s="22" t="n">
        <f aca="false">F14/SUM($F$14:$F$24)</f>
        <v>0.0560555258417964</v>
      </c>
      <c r="H14" s="22" t="n">
        <f aca="false">E14/F14</f>
        <v>0.197224356246304</v>
      </c>
      <c r="I14" s="23" t="str">
        <f aca="false">IF(H14&gt;=0.5,"Malo","Bueno")</f>
        <v>Bueno</v>
      </c>
    </row>
    <row r="15" customFormat="false" ht="15" hidden="false" customHeight="false" outlineLevel="0" collapsed="false">
      <c r="A15" s="44" t="s">
        <v>20</v>
      </c>
      <c r="B15" s="19" t="s">
        <v>10</v>
      </c>
      <c r="C15" s="19" t="s">
        <v>59</v>
      </c>
      <c r="D15" s="20" t="n">
        <v>3235.23</v>
      </c>
      <c r="E15" s="20" t="n">
        <v>1362.48</v>
      </c>
      <c r="F15" s="21" t="n">
        <f aca="false">D15+E15</f>
        <v>4597.71</v>
      </c>
      <c r="G15" s="22" t="n">
        <f aca="false">F15/SUM($F$14:$F$24)</f>
        <v>0.0474816461741559</v>
      </c>
      <c r="H15" s="22" t="n">
        <f aca="false">E15/F15</f>
        <v>0.296338829547753</v>
      </c>
      <c r="I15" s="23" t="str">
        <f aca="false">IF(H15&gt;=0.5,"Malo","Bueno")</f>
        <v>Bueno</v>
      </c>
    </row>
    <row r="16" customFormat="false" ht="15" hidden="false" customHeight="false" outlineLevel="0" collapsed="false">
      <c r="A16" s="45" t="s">
        <v>15</v>
      </c>
      <c r="B16" s="19" t="s">
        <v>9</v>
      </c>
      <c r="C16" s="19" t="s">
        <v>60</v>
      </c>
      <c r="D16" s="20" t="n">
        <v>3557.62</v>
      </c>
      <c r="E16" s="20" t="n">
        <v>1800.42</v>
      </c>
      <c r="F16" s="21" t="n">
        <f aca="false">D16+E16</f>
        <v>5358.04</v>
      </c>
      <c r="G16" s="22" t="n">
        <f aca="false">F16/SUM($F$14:$F$24)</f>
        <v>0.0553337551665882</v>
      </c>
      <c r="H16" s="22" t="n">
        <f aca="false">E16/F16</f>
        <v>0.336022127494382</v>
      </c>
      <c r="I16" s="23" t="str">
        <f aca="false">IF(H16&gt;=0.5,"Malo","Bueno")</f>
        <v>Bueno</v>
      </c>
    </row>
    <row r="17" customFormat="false" ht="15" hidden="false" customHeight="false" outlineLevel="0" collapsed="false">
      <c r="A17" s="46" t="s">
        <v>14</v>
      </c>
      <c r="B17" s="19" t="s">
        <v>8</v>
      </c>
      <c r="C17" s="19" t="s">
        <v>60</v>
      </c>
      <c r="D17" s="20" t="n">
        <v>4473.81</v>
      </c>
      <c r="E17" s="20" t="n">
        <v>2935.82</v>
      </c>
      <c r="F17" s="21" t="n">
        <f aca="false">D17+E17</f>
        <v>7409.63</v>
      </c>
      <c r="G17" s="22" t="n">
        <f aca="false">F17/SUM($F$14:$F$24)</f>
        <v>0.0765210137093054</v>
      </c>
      <c r="H17" s="22" t="n">
        <f aca="false">E17/F17</f>
        <v>0.396216815144616</v>
      </c>
      <c r="I17" s="23" t="str">
        <f aca="false">IF(H17&gt;=0.5,"Malo","Bueno")</f>
        <v>Bueno</v>
      </c>
    </row>
    <row r="18" customFormat="false" ht="15" hidden="false" customHeight="false" outlineLevel="0" collapsed="false">
      <c r="A18" s="47" t="s">
        <v>13</v>
      </c>
      <c r="B18" s="19" t="s">
        <v>41</v>
      </c>
      <c r="C18" s="19" t="s">
        <v>61</v>
      </c>
      <c r="D18" s="20" t="n">
        <v>4727.19</v>
      </c>
      <c r="E18" s="20" t="n">
        <v>3779.26</v>
      </c>
      <c r="F18" s="21" t="n">
        <f aca="false">D18+E18</f>
        <v>8506.45</v>
      </c>
      <c r="G18" s="22" t="n">
        <f aca="false">F18/SUM($F$14:$F$24)</f>
        <v>0.0878481350711872</v>
      </c>
      <c r="H18" s="22" t="n">
        <f aca="false">E18/F18</f>
        <v>0.444281692127738</v>
      </c>
      <c r="I18" s="23" t="str">
        <f aca="false">IF(H18&gt;=0.5,"Malo","Bueno")</f>
        <v>Bueno</v>
      </c>
    </row>
    <row r="19" customFormat="false" ht="15" hidden="false" customHeight="false" outlineLevel="0" collapsed="false">
      <c r="A19" s="48" t="s">
        <v>24</v>
      </c>
      <c r="B19" s="19" t="s">
        <v>40</v>
      </c>
      <c r="C19" s="19" t="s">
        <v>52</v>
      </c>
      <c r="D19" s="20" t="n">
        <v>4651.99</v>
      </c>
      <c r="E19" s="20" t="n">
        <v>4103.66</v>
      </c>
      <c r="F19" s="21" t="n">
        <f aca="false">D19+E19</f>
        <v>8755.65</v>
      </c>
      <c r="G19" s="22" t="n">
        <f aca="false">F19/SUM($F$14:$F$24)</f>
        <v>0.0904216828213932</v>
      </c>
      <c r="H19" s="22" t="n">
        <f aca="false">E19/F19</f>
        <v>0.468687076344989</v>
      </c>
      <c r="I19" s="23" t="str">
        <f aca="false">IF(H19&gt;=0.5,"Malo","Bueno")</f>
        <v>Bueno</v>
      </c>
    </row>
    <row r="20" customFormat="false" ht="15" hidden="false" customHeight="false" outlineLevel="0" collapsed="false">
      <c r="A20" s="49" t="s">
        <v>19</v>
      </c>
      <c r="B20" s="19" t="s">
        <v>40</v>
      </c>
      <c r="C20" s="19" t="s">
        <v>53</v>
      </c>
      <c r="D20" s="20" t="n">
        <v>4127.73</v>
      </c>
      <c r="E20" s="20" t="n">
        <v>3844.14</v>
      </c>
      <c r="F20" s="21" t="n">
        <f aca="false">D20+E20</f>
        <v>7971.87</v>
      </c>
      <c r="G20" s="22" t="n">
        <f aca="false">F20/SUM($F$14:$F$24)</f>
        <v>0.0823274000940398</v>
      </c>
      <c r="H20" s="22" t="n">
        <f aca="false">E20/F20</f>
        <v>0.482213081748699</v>
      </c>
      <c r="I20" s="23" t="str">
        <f aca="false">IF(H20&gt;=0.5,"Malo","Bueno")</f>
        <v>Bueno</v>
      </c>
    </row>
    <row r="21" customFormat="false" ht="15" hidden="false" customHeight="false" outlineLevel="0" collapsed="false">
      <c r="A21" s="50" t="s">
        <v>23</v>
      </c>
      <c r="B21" s="19" t="s">
        <v>40</v>
      </c>
      <c r="C21" s="19" t="s">
        <v>62</v>
      </c>
      <c r="D21" s="20" t="n">
        <v>9216.44</v>
      </c>
      <c r="E21" s="20" t="n">
        <v>11337.78</v>
      </c>
      <c r="F21" s="21" t="n">
        <f aca="false">D21+E21</f>
        <v>20554.22</v>
      </c>
      <c r="G21" s="22" t="n">
        <f aca="false">F21/SUM($F$14:$F$24)</f>
        <v>0.212268325193576</v>
      </c>
      <c r="H21" s="22" t="n">
        <f aca="false">E21/F21</f>
        <v>0.551603514995947</v>
      </c>
      <c r="I21" s="23" t="str">
        <f aca="false">IF(H21&gt;=0.5,"Malo","Bueno")</f>
        <v>Malo</v>
      </c>
    </row>
    <row r="22" customFormat="false" ht="15" hidden="false" customHeight="false" outlineLevel="0" collapsed="false">
      <c r="A22" s="51" t="s">
        <v>12</v>
      </c>
      <c r="B22" s="19" t="s">
        <v>40</v>
      </c>
      <c r="C22" s="19" t="s">
        <v>56</v>
      </c>
      <c r="D22" s="20" t="n">
        <v>3408.27</v>
      </c>
      <c r="E22" s="20" t="n">
        <v>5417.48</v>
      </c>
      <c r="F22" s="21" t="n">
        <f aca="false">D22+E22</f>
        <v>8825.75</v>
      </c>
      <c r="G22" s="22" t="n">
        <f aca="false">F22/SUM($F$14:$F$24)</f>
        <v>0.0911456222166157</v>
      </c>
      <c r="H22" s="22" t="n">
        <f aca="false">E22/F22</f>
        <v>0.613826586975611</v>
      </c>
      <c r="I22" s="23" t="str">
        <f aca="false">IF(H22&gt;=0.5,"Malo","Bueno")</f>
        <v>Malo</v>
      </c>
    </row>
    <row r="23" customFormat="false" ht="15" hidden="false" customHeight="false" outlineLevel="0" collapsed="false">
      <c r="A23" s="52" t="s">
        <v>26</v>
      </c>
      <c r="B23" s="19" t="s">
        <v>44</v>
      </c>
      <c r="C23" s="19" t="s">
        <v>60</v>
      </c>
      <c r="D23" s="20" t="n">
        <v>3476.76</v>
      </c>
      <c r="E23" s="20" t="n">
        <v>5758.1</v>
      </c>
      <c r="F23" s="21" t="n">
        <f aca="false">D23+E23</f>
        <v>9234.86</v>
      </c>
      <c r="G23" s="22" t="n">
        <f aca="false">F23/SUM($F$14:$F$24)</f>
        <v>0.0953705986214583</v>
      </c>
      <c r="H23" s="22" t="n">
        <f aca="false">E23/F23</f>
        <v>0.623517844341982</v>
      </c>
      <c r="I23" s="23" t="str">
        <f aca="false">IF(H23&gt;=0.5,"Malo","Bueno")</f>
        <v>Malo</v>
      </c>
    </row>
    <row r="24" customFormat="false" ht="15" hidden="false" customHeight="false" outlineLevel="0" collapsed="false">
      <c r="A24" s="33" t="s">
        <v>22</v>
      </c>
      <c r="B24" s="19" t="s">
        <v>44</v>
      </c>
      <c r="C24" s="19" t="s">
        <v>61</v>
      </c>
      <c r="D24" s="20" t="n">
        <v>3019.96</v>
      </c>
      <c r="E24" s="20" t="n">
        <v>7169.24</v>
      </c>
      <c r="F24" s="21" t="n">
        <f aca="false">D24+E24</f>
        <v>10189.2</v>
      </c>
      <c r="G24" s="22" t="n">
        <f aca="false">F24/SUM($F$14:$F$24)</f>
        <v>0.105226295089884</v>
      </c>
      <c r="H24" s="22" t="n">
        <f aca="false">E24/F24</f>
        <v>0.703611667255525</v>
      </c>
      <c r="I24" s="23" t="str">
        <f aca="false">IF(H24&gt;=0.5,"Malo","Bueno")</f>
        <v>Malo</v>
      </c>
    </row>
    <row r="26" customFormat="false" ht="15" hidden="false" customHeight="false" outlineLevel="0" collapsed="false">
      <c r="A26" s="34" t="s">
        <v>48</v>
      </c>
      <c r="B26" s="34"/>
      <c r="C26" s="34"/>
      <c r="D26" s="34"/>
      <c r="E26" s="34"/>
      <c r="F26" s="34"/>
      <c r="G26" s="34"/>
      <c r="H26" s="34"/>
      <c r="I26" s="34"/>
    </row>
  </sheetData>
  <mergeCells count="3">
    <mergeCell ref="A1:H1"/>
    <mergeCell ref="A2:H2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63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71</v>
      </c>
    </row>
    <row r="5" customFormat="false" ht="21.75" hidden="false" customHeight="true" outlineLevel="0" collapsed="false">
      <c r="A5" s="5" t="s">
        <v>72</v>
      </c>
      <c r="B5" s="53" t="s">
        <v>13</v>
      </c>
      <c r="C5" s="53" t="s">
        <v>13</v>
      </c>
      <c r="D5" s="54" t="s">
        <v>14</v>
      </c>
      <c r="E5" s="54" t="s">
        <v>14</v>
      </c>
      <c r="F5" s="54" t="s">
        <v>14</v>
      </c>
      <c r="G5" s="55" t="s">
        <v>16</v>
      </c>
      <c r="H5" s="55" t="s">
        <v>16</v>
      </c>
      <c r="I5" s="10" t="s">
        <v>73</v>
      </c>
    </row>
    <row r="6" customFormat="false" ht="21.75" hidden="false" customHeight="true" outlineLevel="0" collapsed="false">
      <c r="A6" s="5" t="s">
        <v>74</v>
      </c>
      <c r="B6" s="56" t="s">
        <v>19</v>
      </c>
      <c r="C6" s="56" t="s">
        <v>19</v>
      </c>
      <c r="D6" s="56" t="s">
        <v>19</v>
      </c>
      <c r="E6" s="57" t="s">
        <v>24</v>
      </c>
      <c r="F6" s="57" t="s">
        <v>24</v>
      </c>
      <c r="G6" s="58" t="s">
        <v>20</v>
      </c>
      <c r="H6" s="58" t="s">
        <v>20</v>
      </c>
      <c r="I6" s="10" t="s">
        <v>73</v>
      </c>
    </row>
    <row r="7" customFormat="false" ht="21.75" hidden="false" customHeight="true" outlineLevel="0" collapsed="false">
      <c r="A7" s="5" t="s">
        <v>75</v>
      </c>
      <c r="B7" s="56" t="s">
        <v>19</v>
      </c>
      <c r="C7" s="56" t="s">
        <v>19</v>
      </c>
      <c r="D7" s="56" t="s">
        <v>19</v>
      </c>
      <c r="E7" s="57" t="s">
        <v>24</v>
      </c>
      <c r="F7" s="57" t="s">
        <v>24</v>
      </c>
      <c r="G7" s="58" t="s">
        <v>20</v>
      </c>
      <c r="H7" s="58" t="s">
        <v>20</v>
      </c>
      <c r="I7" s="10" t="s">
        <v>73</v>
      </c>
    </row>
    <row r="8" customFormat="false" ht="21.75" hidden="false" customHeight="true" outlineLevel="0" collapsed="false">
      <c r="A8" s="5" t="s">
        <v>76</v>
      </c>
      <c r="B8" s="59" t="s">
        <v>26</v>
      </c>
      <c r="C8" s="59" t="s">
        <v>26</v>
      </c>
      <c r="D8" s="59" t="s">
        <v>26</v>
      </c>
      <c r="E8" s="60" t="s">
        <v>12</v>
      </c>
      <c r="F8" s="60" t="s">
        <v>12</v>
      </c>
      <c r="G8" s="61" t="s">
        <v>15</v>
      </c>
      <c r="H8" s="61" t="s">
        <v>15</v>
      </c>
      <c r="I8" s="61" t="s">
        <v>15</v>
      </c>
    </row>
    <row r="9" customFormat="false" ht="21.75" hidden="false" customHeight="true" outlineLevel="0" collapsed="false">
      <c r="A9" s="5" t="s">
        <v>77</v>
      </c>
      <c r="B9" s="13" t="s">
        <v>22</v>
      </c>
      <c r="C9" s="13" t="s">
        <v>22</v>
      </c>
      <c r="D9" s="13" t="s">
        <v>22</v>
      </c>
      <c r="E9" s="13" t="s">
        <v>22</v>
      </c>
      <c r="F9" s="13" t="s">
        <v>22</v>
      </c>
      <c r="G9" s="62" t="s">
        <v>23</v>
      </c>
      <c r="H9" s="62" t="s">
        <v>23</v>
      </c>
      <c r="I9" s="62" t="s">
        <v>23</v>
      </c>
    </row>
    <row r="10" customFormat="false" ht="21.75" hidden="false" customHeight="true" outlineLevel="0" collapsed="false">
      <c r="A10" s="5" t="s">
        <v>27</v>
      </c>
      <c r="B10" s="13" t="s">
        <v>22</v>
      </c>
      <c r="C10" s="13" t="s">
        <v>22</v>
      </c>
      <c r="D10" s="13" t="s">
        <v>22</v>
      </c>
      <c r="E10" s="13" t="s">
        <v>22</v>
      </c>
      <c r="F10" s="13" t="s">
        <v>22</v>
      </c>
      <c r="G10" s="62" t="s">
        <v>23</v>
      </c>
      <c r="H10" s="62" t="s">
        <v>23</v>
      </c>
      <c r="I10" s="62" t="s">
        <v>23</v>
      </c>
    </row>
    <row r="13" customFormat="false" ht="23.85" hidden="false" customHeight="false" outlineLevel="0" collapsed="false">
      <c r="A13" s="17" t="s">
        <v>28</v>
      </c>
      <c r="B13" s="17" t="s">
        <v>29</v>
      </c>
      <c r="C13" s="17" t="s">
        <v>30</v>
      </c>
      <c r="D13" s="17" t="s">
        <v>31</v>
      </c>
      <c r="E13" s="17" t="s">
        <v>32</v>
      </c>
      <c r="F13" s="17" t="s">
        <v>33</v>
      </c>
      <c r="G13" s="17" t="s">
        <v>34</v>
      </c>
      <c r="H13" s="17" t="s">
        <v>35</v>
      </c>
      <c r="I13" s="17" t="s">
        <v>36</v>
      </c>
    </row>
    <row r="14" customFormat="false" ht="15" hidden="false" customHeight="false" outlineLevel="0" collapsed="false">
      <c r="A14" s="18" t="s">
        <v>73</v>
      </c>
      <c r="B14" s="19" t="s">
        <v>71</v>
      </c>
      <c r="C14" s="19" t="s">
        <v>78</v>
      </c>
      <c r="D14" s="20" t="n">
        <v>3168.36</v>
      </c>
      <c r="E14" s="20" t="n">
        <v>649.74</v>
      </c>
      <c r="F14" s="21" t="n">
        <f aca="false">D14+E14</f>
        <v>3818.1</v>
      </c>
      <c r="G14" s="22" t="n">
        <f aca="false">F14/SUM($F$14:$F$25)</f>
        <v>0.0388388287785539</v>
      </c>
      <c r="H14" s="22" t="n">
        <f aca="false">E14/F14</f>
        <v>0.170173646578141</v>
      </c>
      <c r="I14" s="23" t="str">
        <f aca="false">IF(H14&gt;=0.5,"Malo","Bueno")</f>
        <v>Bueno</v>
      </c>
    </row>
    <row r="15" customFormat="false" ht="15" hidden="false" customHeight="false" outlineLevel="0" collapsed="false">
      <c r="A15" s="63" t="s">
        <v>16</v>
      </c>
      <c r="B15" s="19" t="s">
        <v>79</v>
      </c>
      <c r="C15" s="19" t="s">
        <v>72</v>
      </c>
      <c r="D15" s="20" t="n">
        <v>3756.48</v>
      </c>
      <c r="E15" s="20" t="n">
        <v>1197.56</v>
      </c>
      <c r="F15" s="21" t="n">
        <f aca="false">D15+E15</f>
        <v>4954.04</v>
      </c>
      <c r="G15" s="22" t="n">
        <f aca="false">F15/SUM($F$14:$F$25)</f>
        <v>0.0503939423593167</v>
      </c>
      <c r="H15" s="22" t="n">
        <f aca="false">E15/F15</f>
        <v>0.2417340191036</v>
      </c>
      <c r="I15" s="23" t="str">
        <f aca="false">IF(H15&gt;=0.5,"Malo","Bueno")</f>
        <v>Bueno</v>
      </c>
    </row>
    <row r="16" customFormat="false" ht="15" hidden="false" customHeight="false" outlineLevel="0" collapsed="false">
      <c r="A16" s="64" t="s">
        <v>20</v>
      </c>
      <c r="B16" s="19" t="s">
        <v>79</v>
      </c>
      <c r="C16" s="19" t="s">
        <v>80</v>
      </c>
      <c r="D16" s="20" t="n">
        <v>3879.2</v>
      </c>
      <c r="E16" s="20" t="n">
        <v>1796.34</v>
      </c>
      <c r="F16" s="21" t="n">
        <f aca="false">D16+E16</f>
        <v>5675.54</v>
      </c>
      <c r="G16" s="22" t="n">
        <f aca="false">F16/SUM($F$14:$F$25)</f>
        <v>0.0577332511683386</v>
      </c>
      <c r="H16" s="22" t="n">
        <f aca="false">E16/F16</f>
        <v>0.316505565990197</v>
      </c>
      <c r="I16" s="23" t="str">
        <f aca="false">IF(H16&gt;=0.5,"Malo","Bueno")</f>
        <v>Bueno</v>
      </c>
    </row>
    <row r="17" customFormat="false" ht="15" hidden="false" customHeight="false" outlineLevel="0" collapsed="false">
      <c r="A17" s="65" t="s">
        <v>15</v>
      </c>
      <c r="B17" s="19" t="s">
        <v>81</v>
      </c>
      <c r="C17" s="19" t="s">
        <v>76</v>
      </c>
      <c r="D17" s="20" t="n">
        <v>2918.24</v>
      </c>
      <c r="E17" s="20" t="n">
        <v>1694.42</v>
      </c>
      <c r="F17" s="21" t="n">
        <f aca="false">D17+E17</f>
        <v>4612.66</v>
      </c>
      <c r="G17" s="22" t="n">
        <f aca="false">F17/SUM($F$14:$F$25)</f>
        <v>0.0469213252543632</v>
      </c>
      <c r="H17" s="22" t="n">
        <f aca="false">E17/F17</f>
        <v>0.367341187080773</v>
      </c>
      <c r="I17" s="23" t="str">
        <f aca="false">IF(H17&gt;=0.5,"Malo","Bueno")</f>
        <v>Bueno</v>
      </c>
    </row>
    <row r="18" customFormat="false" ht="15" hidden="false" customHeight="false" outlineLevel="0" collapsed="false">
      <c r="A18" s="66" t="s">
        <v>14</v>
      </c>
      <c r="B18" s="19" t="s">
        <v>82</v>
      </c>
      <c r="C18" s="19" t="s">
        <v>72</v>
      </c>
      <c r="D18" s="20" t="n">
        <v>4777.76</v>
      </c>
      <c r="E18" s="20" t="n">
        <v>2802.8</v>
      </c>
      <c r="F18" s="21" t="n">
        <f aca="false">D18+E18</f>
        <v>7580.56</v>
      </c>
      <c r="G18" s="22" t="n">
        <f aca="false">F18/SUM($F$14:$F$25)</f>
        <v>0.0771116712201237</v>
      </c>
      <c r="H18" s="22" t="n">
        <f aca="false">E18/F18</f>
        <v>0.369735217450954</v>
      </c>
      <c r="I18" s="23" t="str">
        <f aca="false">IF(H18&gt;=0.5,"Malo","Bueno")</f>
        <v>Bueno</v>
      </c>
    </row>
    <row r="19" customFormat="false" ht="15" hidden="false" customHeight="false" outlineLevel="0" collapsed="false">
      <c r="A19" s="67" t="s">
        <v>13</v>
      </c>
      <c r="B19" s="19" t="s">
        <v>83</v>
      </c>
      <c r="C19" s="19" t="s">
        <v>72</v>
      </c>
      <c r="D19" s="20" t="n">
        <v>4060.16</v>
      </c>
      <c r="E19" s="20" t="n">
        <v>2841.02</v>
      </c>
      <c r="F19" s="21" t="n">
        <f aca="false">D19+E19</f>
        <v>6901.18</v>
      </c>
      <c r="G19" s="22" t="n">
        <f aca="false">F19/SUM($F$14:$F$25)</f>
        <v>0.0702008193577906</v>
      </c>
      <c r="H19" s="22" t="n">
        <f aca="false">E19/F19</f>
        <v>0.411671627171006</v>
      </c>
      <c r="I19" s="23" t="str">
        <f aca="false">IF(H19&gt;=0.5,"Malo","Bueno")</f>
        <v>Bueno</v>
      </c>
    </row>
    <row r="20" customFormat="false" ht="15" hidden="false" customHeight="false" outlineLevel="0" collapsed="false">
      <c r="A20" s="68" t="s">
        <v>24</v>
      </c>
      <c r="B20" s="19" t="s">
        <v>84</v>
      </c>
      <c r="C20" s="19" t="s">
        <v>80</v>
      </c>
      <c r="D20" s="20" t="n">
        <v>6310.2</v>
      </c>
      <c r="E20" s="20" t="n">
        <v>4904.9</v>
      </c>
      <c r="F20" s="21" t="n">
        <f aca="false">D20+E20</f>
        <v>11215.1</v>
      </c>
      <c r="G20" s="22" t="n">
        <f aca="false">F20/SUM($F$14:$F$25)</f>
        <v>0.114083274045824</v>
      </c>
      <c r="H20" s="22" t="n">
        <f aca="false">E20/F20</f>
        <v>0.437347861365481</v>
      </c>
      <c r="I20" s="23" t="str">
        <f aca="false">IF(H20&gt;=0.5,"Malo","Bueno")</f>
        <v>Bueno</v>
      </c>
    </row>
    <row r="21" customFormat="false" ht="15" hidden="false" customHeight="false" outlineLevel="0" collapsed="false">
      <c r="A21" s="69" t="s">
        <v>19</v>
      </c>
      <c r="B21" s="19" t="s">
        <v>85</v>
      </c>
      <c r="C21" s="19" t="s">
        <v>80</v>
      </c>
      <c r="D21" s="20" t="n">
        <v>5554.12</v>
      </c>
      <c r="E21" s="20" t="n">
        <v>5987.8</v>
      </c>
      <c r="F21" s="21" t="n">
        <f aca="false">D21+E21</f>
        <v>11541.92</v>
      </c>
      <c r="G21" s="22" t="n">
        <f aca="false">F21/SUM($F$14:$F$25)</f>
        <v>0.117407782576613</v>
      </c>
      <c r="H21" s="22" t="n">
        <f aca="false">E21/F21</f>
        <v>0.518787168859254</v>
      </c>
      <c r="I21" s="23" t="str">
        <f aca="false">IF(H21&gt;=0.5,"Malo","Bueno")</f>
        <v>Malo</v>
      </c>
    </row>
    <row r="22" customFormat="false" ht="15" hidden="false" customHeight="false" outlineLevel="0" collapsed="false">
      <c r="A22" s="70" t="s">
        <v>23</v>
      </c>
      <c r="B22" s="19" t="s">
        <v>81</v>
      </c>
      <c r="C22" s="19" t="s">
        <v>86</v>
      </c>
      <c r="D22" s="20" t="n">
        <v>3232.84</v>
      </c>
      <c r="E22" s="20" t="n">
        <v>3656.38</v>
      </c>
      <c r="F22" s="21" t="n">
        <f aca="false">D22+E22</f>
        <v>6889.22</v>
      </c>
      <c r="G22" s="22" t="n">
        <f aca="false">F22/SUM($F$14:$F$25)</f>
        <v>0.0700791587432987</v>
      </c>
      <c r="H22" s="22" t="n">
        <f aca="false">E22/F22</f>
        <v>0.530739328980639</v>
      </c>
      <c r="I22" s="23" t="str">
        <f aca="false">IF(H22&gt;=0.5,"Malo","Bueno")</f>
        <v>Malo</v>
      </c>
    </row>
    <row r="23" customFormat="false" ht="15" hidden="false" customHeight="false" outlineLevel="0" collapsed="false">
      <c r="A23" s="71" t="s">
        <v>12</v>
      </c>
      <c r="B23" s="19" t="s">
        <v>84</v>
      </c>
      <c r="C23" s="19" t="s">
        <v>76</v>
      </c>
      <c r="D23" s="20" t="n">
        <v>3750.24</v>
      </c>
      <c r="E23" s="20" t="n">
        <v>4344.34</v>
      </c>
      <c r="F23" s="21" t="n">
        <f aca="false">D23+E23</f>
        <v>8094.58</v>
      </c>
      <c r="G23" s="22" t="n">
        <f aca="false">F23/SUM($F$14:$F$25)</f>
        <v>0.082340432847308</v>
      </c>
      <c r="H23" s="22" t="n">
        <f aca="false">E23/F23</f>
        <v>0.536697395047056</v>
      </c>
      <c r="I23" s="23" t="str">
        <f aca="false">IF(H23&gt;=0.5,"Malo","Bueno")</f>
        <v>Malo</v>
      </c>
    </row>
    <row r="24" customFormat="false" ht="15" hidden="false" customHeight="false" outlineLevel="0" collapsed="false">
      <c r="A24" s="72" t="s">
        <v>26</v>
      </c>
      <c r="B24" s="19" t="s">
        <v>85</v>
      </c>
      <c r="C24" s="19" t="s">
        <v>76</v>
      </c>
      <c r="D24" s="20" t="n">
        <v>2959.84</v>
      </c>
      <c r="E24" s="20" t="n">
        <v>5134.22</v>
      </c>
      <c r="F24" s="21" t="n">
        <f aca="false">D24+E24</f>
        <v>8094.06</v>
      </c>
      <c r="G24" s="22" t="n">
        <f aca="false">F24/SUM($F$14:$F$25)</f>
        <v>0.0823351432553736</v>
      </c>
      <c r="H24" s="22" t="n">
        <f aca="false">E24/F24</f>
        <v>0.634319488612637</v>
      </c>
      <c r="I24" s="23" t="str">
        <f aca="false">IF(H24&gt;=0.5,"Malo","Bueno")</f>
        <v>Malo</v>
      </c>
    </row>
    <row r="25" customFormat="false" ht="15" hidden="false" customHeight="false" outlineLevel="0" collapsed="false">
      <c r="A25" s="33" t="s">
        <v>22</v>
      </c>
      <c r="B25" s="19" t="s">
        <v>87</v>
      </c>
      <c r="C25" s="19" t="s">
        <v>86</v>
      </c>
      <c r="D25" s="20" t="n">
        <v>4826.12</v>
      </c>
      <c r="E25" s="20" t="n">
        <v>14103.18</v>
      </c>
      <c r="F25" s="21" t="n">
        <f aca="false">D25+E25</f>
        <v>18929.3</v>
      </c>
      <c r="G25" s="22" t="n">
        <f aca="false">F25/SUM($F$14:$F$25)</f>
        <v>0.192554370393096</v>
      </c>
      <c r="H25" s="22" t="n">
        <f aca="false">E25/F25</f>
        <v>0.745044983174233</v>
      </c>
      <c r="I25" s="23" t="str">
        <f aca="false">IF(H25&gt;=0.5,"Malo","Bueno")</f>
        <v>Malo</v>
      </c>
    </row>
    <row r="27" customFormat="false" ht="15" hidden="false" customHeight="false" outlineLevel="0" collapsed="false">
      <c r="A27" s="34" t="s">
        <v>48</v>
      </c>
      <c r="B27" s="34"/>
      <c r="C27" s="34"/>
      <c r="D27" s="34"/>
      <c r="E27" s="34"/>
      <c r="F27" s="34"/>
      <c r="G27" s="34"/>
      <c r="H27" s="34"/>
      <c r="I27" s="34"/>
    </row>
  </sheetData>
  <mergeCells count="3">
    <mergeCell ref="A1:H1"/>
    <mergeCell ref="A2:H2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89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A4" s="3" t="s">
        <v>51</v>
      </c>
      <c r="B4" s="4" t="s">
        <v>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71</v>
      </c>
    </row>
    <row r="5" customFormat="false" ht="21.75" hidden="false" customHeight="true" outlineLevel="0" collapsed="false">
      <c r="A5" s="5" t="s">
        <v>90</v>
      </c>
      <c r="B5" s="57" t="s">
        <v>19</v>
      </c>
      <c r="C5" s="57" t="s">
        <v>19</v>
      </c>
      <c r="D5" s="57" t="s">
        <v>19</v>
      </c>
      <c r="E5" s="57" t="s">
        <v>19</v>
      </c>
      <c r="F5" s="73" t="s">
        <v>13</v>
      </c>
      <c r="G5" s="74" t="s">
        <v>14</v>
      </c>
      <c r="H5" s="74" t="s">
        <v>14</v>
      </c>
      <c r="I5" s="10" t="s">
        <v>15</v>
      </c>
    </row>
    <row r="6" customFormat="false" ht="21.75" hidden="false" customHeight="true" outlineLevel="0" collapsed="false">
      <c r="A6" s="5" t="s">
        <v>91</v>
      </c>
      <c r="B6" s="57" t="s">
        <v>19</v>
      </c>
      <c r="C6" s="57" t="s">
        <v>19</v>
      </c>
      <c r="D6" s="57" t="s">
        <v>19</v>
      </c>
      <c r="E6" s="57" t="s">
        <v>19</v>
      </c>
      <c r="F6" s="73" t="s">
        <v>13</v>
      </c>
      <c r="G6" s="74" t="s">
        <v>14</v>
      </c>
      <c r="H6" s="74" t="s">
        <v>14</v>
      </c>
      <c r="I6" s="10" t="s">
        <v>15</v>
      </c>
    </row>
    <row r="7" customFormat="false" ht="21.75" hidden="false" customHeight="true" outlineLevel="0" collapsed="false">
      <c r="A7" s="5" t="s">
        <v>92</v>
      </c>
      <c r="B7" s="75" t="s">
        <v>26</v>
      </c>
      <c r="C7" s="75" t="s">
        <v>26</v>
      </c>
      <c r="D7" s="75" t="s">
        <v>26</v>
      </c>
      <c r="E7" s="76" t="s">
        <v>23</v>
      </c>
      <c r="F7" s="76" t="s">
        <v>23</v>
      </c>
      <c r="G7" s="77" t="s">
        <v>24</v>
      </c>
      <c r="H7" s="77" t="s">
        <v>24</v>
      </c>
      <c r="I7" s="10" t="s">
        <v>15</v>
      </c>
    </row>
    <row r="8" customFormat="false" ht="21.75" hidden="false" customHeight="true" outlineLevel="0" collapsed="false">
      <c r="A8" s="5" t="s">
        <v>93</v>
      </c>
      <c r="B8" s="75" t="s">
        <v>26</v>
      </c>
      <c r="C8" s="75" t="s">
        <v>26</v>
      </c>
      <c r="D8" s="75" t="s">
        <v>26</v>
      </c>
      <c r="E8" s="76" t="s">
        <v>23</v>
      </c>
      <c r="F8" s="76" t="s">
        <v>23</v>
      </c>
      <c r="G8" s="77" t="s">
        <v>24</v>
      </c>
      <c r="H8" s="77" t="s">
        <v>24</v>
      </c>
      <c r="I8" s="10" t="s">
        <v>15</v>
      </c>
    </row>
    <row r="9" customFormat="false" ht="21.75" hidden="false" customHeight="true" outlineLevel="0" collapsed="false">
      <c r="A9" s="5" t="s">
        <v>94</v>
      </c>
      <c r="B9" s="13" t="s">
        <v>22</v>
      </c>
      <c r="C9" s="13" t="s">
        <v>22</v>
      </c>
      <c r="D9" s="13" t="s">
        <v>22</v>
      </c>
      <c r="E9" s="13" t="s">
        <v>22</v>
      </c>
      <c r="F9" s="13" t="s">
        <v>22</v>
      </c>
      <c r="G9" s="78" t="s">
        <v>12</v>
      </c>
      <c r="H9" s="78" t="s">
        <v>12</v>
      </c>
      <c r="I9" s="78" t="s">
        <v>12</v>
      </c>
    </row>
    <row r="10" customFormat="false" ht="21.75" hidden="false" customHeight="true" outlineLevel="0" collapsed="false">
      <c r="A10" s="5" t="s">
        <v>27</v>
      </c>
      <c r="B10" s="13" t="s">
        <v>22</v>
      </c>
      <c r="C10" s="13" t="s">
        <v>22</v>
      </c>
      <c r="D10" s="13" t="s">
        <v>22</v>
      </c>
      <c r="E10" s="13" t="s">
        <v>22</v>
      </c>
      <c r="F10" s="13" t="s">
        <v>22</v>
      </c>
      <c r="G10" s="78" t="s">
        <v>12</v>
      </c>
      <c r="H10" s="78" t="s">
        <v>12</v>
      </c>
      <c r="I10" s="78" t="s">
        <v>12</v>
      </c>
    </row>
    <row r="13" customFormat="false" ht="23.85" hidden="false" customHeight="false" outlineLevel="0" collapsed="false">
      <c r="A13" s="17" t="s">
        <v>28</v>
      </c>
      <c r="B13" s="17" t="s">
        <v>29</v>
      </c>
      <c r="C13" s="17" t="s">
        <v>57</v>
      </c>
      <c r="D13" s="17" t="s">
        <v>31</v>
      </c>
      <c r="E13" s="17" t="s">
        <v>32</v>
      </c>
      <c r="F13" s="17" t="s">
        <v>33</v>
      </c>
      <c r="G13" s="17" t="s">
        <v>34</v>
      </c>
      <c r="H13" s="17" t="s">
        <v>35</v>
      </c>
      <c r="I13" s="17" t="s">
        <v>36</v>
      </c>
    </row>
    <row r="14" customFormat="false" ht="15" hidden="false" customHeight="false" outlineLevel="0" collapsed="false">
      <c r="A14" s="18" t="s">
        <v>15</v>
      </c>
      <c r="B14" s="19" t="s">
        <v>71</v>
      </c>
      <c r="C14" s="19" t="s">
        <v>95</v>
      </c>
      <c r="D14" s="20" t="n">
        <v>3805.88</v>
      </c>
      <c r="E14" s="20" t="n">
        <v>853.58</v>
      </c>
      <c r="F14" s="21" t="n">
        <f aca="false">D14+E14</f>
        <v>4659.46</v>
      </c>
      <c r="G14" s="22" t="n">
        <f aca="false">F14/SUM($F$14:$F$22)</f>
        <v>0.047397388528462</v>
      </c>
      <c r="H14" s="22" t="n">
        <f aca="false">E14/F14</f>
        <v>0.183192902181798</v>
      </c>
      <c r="I14" s="23" t="str">
        <f aca="false">IF(H14&gt;=0.5,"Malo","Bueno")</f>
        <v>Bueno</v>
      </c>
    </row>
    <row r="15" customFormat="false" ht="15" hidden="false" customHeight="false" outlineLevel="0" collapsed="false">
      <c r="A15" s="79" t="s">
        <v>14</v>
      </c>
      <c r="B15" s="19" t="s">
        <v>79</v>
      </c>
      <c r="C15" s="19" t="s">
        <v>96</v>
      </c>
      <c r="D15" s="20" t="n">
        <v>6151.6</v>
      </c>
      <c r="E15" s="20" t="n">
        <v>2446.08</v>
      </c>
      <c r="F15" s="21" t="n">
        <f aca="false">D15+E15</f>
        <v>8597.68</v>
      </c>
      <c r="G15" s="22" t="n">
        <f aca="false">F15/SUM($F$14:$F$22)</f>
        <v>0.0874581130438692</v>
      </c>
      <c r="H15" s="22" t="n">
        <f aca="false">E15/F15</f>
        <v>0.284504657070279</v>
      </c>
      <c r="I15" s="23" t="str">
        <f aca="false">IF(H15&gt;=0.5,"Malo","Bueno")</f>
        <v>Bueno</v>
      </c>
    </row>
    <row r="16" customFormat="false" ht="15" hidden="false" customHeight="false" outlineLevel="0" collapsed="false">
      <c r="A16" s="80" t="s">
        <v>13</v>
      </c>
      <c r="B16" s="19" t="s">
        <v>68</v>
      </c>
      <c r="C16" s="19" t="s">
        <v>96</v>
      </c>
      <c r="D16" s="20" t="n">
        <v>3362.32</v>
      </c>
      <c r="E16" s="20" t="n">
        <v>1872.78</v>
      </c>
      <c r="F16" s="21" t="n">
        <f aca="false">D16+E16</f>
        <v>5235.1</v>
      </c>
      <c r="G16" s="22" t="n">
        <f aca="false">F16/SUM($F$14:$F$22)</f>
        <v>0.0532529667998762</v>
      </c>
      <c r="H16" s="22" t="n">
        <f aca="false">E16/F16</f>
        <v>0.357735286814005</v>
      </c>
      <c r="I16" s="23" t="str">
        <f aca="false">IF(H16&gt;=0.5,"Malo","Bueno")</f>
        <v>Bueno</v>
      </c>
    </row>
    <row r="17" customFormat="false" ht="15" hidden="false" customHeight="false" outlineLevel="0" collapsed="false">
      <c r="A17" s="81" t="s">
        <v>24</v>
      </c>
      <c r="B17" s="19" t="s">
        <v>79</v>
      </c>
      <c r="C17" s="19" t="s">
        <v>97</v>
      </c>
      <c r="D17" s="20" t="n">
        <v>3835</v>
      </c>
      <c r="E17" s="20" t="n">
        <v>2165.8</v>
      </c>
      <c r="F17" s="21" t="n">
        <f aca="false">D17+E17</f>
        <v>6000.8</v>
      </c>
      <c r="G17" s="22" t="n">
        <f aca="false">F17/SUM($F$14:$F$22)</f>
        <v>0.0610418909233247</v>
      </c>
      <c r="H17" s="22" t="n">
        <f aca="false">E17/F17</f>
        <v>0.360918544194107</v>
      </c>
      <c r="I17" s="23" t="str">
        <f aca="false">IF(H17&gt;=0.5,"Malo","Bueno")</f>
        <v>Bueno</v>
      </c>
    </row>
    <row r="18" customFormat="false" ht="15" hidden="false" customHeight="false" outlineLevel="0" collapsed="false">
      <c r="A18" s="68" t="s">
        <v>19</v>
      </c>
      <c r="B18" s="19" t="s">
        <v>98</v>
      </c>
      <c r="C18" s="19" t="s">
        <v>96</v>
      </c>
      <c r="D18" s="20" t="n">
        <v>11976.12</v>
      </c>
      <c r="E18" s="20" t="n">
        <v>9504.04</v>
      </c>
      <c r="F18" s="21" t="n">
        <f aca="false">D18+E18</f>
        <v>21480.16</v>
      </c>
      <c r="G18" s="22" t="n">
        <f aca="false">F18/SUM($F$14:$F$22)</f>
        <v>0.218502463627443</v>
      </c>
      <c r="H18" s="22" t="n">
        <f aca="false">E18/F18</f>
        <v>0.442456666989445</v>
      </c>
      <c r="I18" s="23" t="str">
        <f aca="false">IF(H18&gt;=0.5,"Malo","Bueno")</f>
        <v>Bueno</v>
      </c>
    </row>
    <row r="19" customFormat="false" ht="15" hidden="false" customHeight="false" outlineLevel="0" collapsed="false">
      <c r="A19" s="82" t="s">
        <v>23</v>
      </c>
      <c r="B19" s="19" t="s">
        <v>84</v>
      </c>
      <c r="C19" s="19" t="s">
        <v>97</v>
      </c>
      <c r="D19" s="20" t="n">
        <v>6556.16</v>
      </c>
      <c r="E19" s="20" t="n">
        <v>6675.76</v>
      </c>
      <c r="F19" s="21" t="n">
        <f aca="false">D19+E19</f>
        <v>13231.92</v>
      </c>
      <c r="G19" s="22" t="n">
        <f aca="false">F19/SUM($F$14:$F$22)</f>
        <v>0.134598956363511</v>
      </c>
      <c r="H19" s="22" t="n">
        <f aca="false">E19/F19</f>
        <v>0.504519374361393</v>
      </c>
      <c r="I19" s="23" t="str">
        <f aca="false">IF(H19&gt;=0.5,"Malo","Bueno")</f>
        <v>Malo</v>
      </c>
    </row>
    <row r="20" customFormat="false" ht="15" hidden="false" customHeight="false" outlineLevel="0" collapsed="false">
      <c r="A20" s="83" t="s">
        <v>12</v>
      </c>
      <c r="B20" s="19" t="s">
        <v>81</v>
      </c>
      <c r="C20" s="19" t="s">
        <v>99</v>
      </c>
      <c r="D20" s="20" t="n">
        <v>3162.64</v>
      </c>
      <c r="E20" s="20" t="n">
        <v>3528.98</v>
      </c>
      <c r="F20" s="21" t="n">
        <f aca="false">D20+E20</f>
        <v>6691.62</v>
      </c>
      <c r="G20" s="22" t="n">
        <f aca="false">F20/SUM($F$14:$F$22)</f>
        <v>0.0680691138082153</v>
      </c>
      <c r="H20" s="22" t="n">
        <f aca="false">E20/F20</f>
        <v>0.52737304270117</v>
      </c>
      <c r="I20" s="23" t="str">
        <f aca="false">IF(H20&gt;=0.5,"Malo","Bueno")</f>
        <v>Malo</v>
      </c>
    </row>
    <row r="21" customFormat="false" ht="15" hidden="false" customHeight="false" outlineLevel="0" collapsed="false">
      <c r="A21" s="84" t="s">
        <v>26</v>
      </c>
      <c r="B21" s="19" t="s">
        <v>85</v>
      </c>
      <c r="C21" s="19" t="s">
        <v>97</v>
      </c>
      <c r="D21" s="20" t="n">
        <v>5457.92</v>
      </c>
      <c r="E21" s="20" t="n">
        <v>8051.68</v>
      </c>
      <c r="F21" s="21" t="n">
        <f aca="false">D21+E21</f>
        <v>13509.6</v>
      </c>
      <c r="G21" s="22" t="n">
        <f aca="false">F21/SUM($F$14:$F$22)</f>
        <v>0.137423598456497</v>
      </c>
      <c r="H21" s="22" t="n">
        <f aca="false">E21/F21</f>
        <v>0.595996920708237</v>
      </c>
      <c r="I21" s="23" t="str">
        <f aca="false">IF(H21&gt;=0.5,"Malo","Bueno")</f>
        <v>Malo</v>
      </c>
    </row>
    <row r="22" customFormat="false" ht="15" hidden="false" customHeight="false" outlineLevel="0" collapsed="false">
      <c r="A22" s="33" t="s">
        <v>22</v>
      </c>
      <c r="B22" s="19" t="s">
        <v>87</v>
      </c>
      <c r="C22" s="19" t="s">
        <v>99</v>
      </c>
      <c r="D22" s="20" t="n">
        <v>4885.92</v>
      </c>
      <c r="E22" s="20" t="n">
        <v>14014</v>
      </c>
      <c r="F22" s="21" t="n">
        <f aca="false">D22+E22</f>
        <v>18899.92</v>
      </c>
      <c r="G22" s="22" t="n">
        <f aca="false">F22/SUM($F$14:$F$22)</f>
        <v>0.192255508448801</v>
      </c>
      <c r="H22" s="22" t="n">
        <f aca="false">E22/F22</f>
        <v>0.74148462004072</v>
      </c>
      <c r="I22" s="23" t="str">
        <f aca="false">IF(H22&gt;=0.5,"Malo","Bueno")</f>
        <v>Malo</v>
      </c>
    </row>
    <row r="24" customFormat="false" ht="15" hidden="false" customHeight="false" outlineLevel="0" collapsed="false">
      <c r="A24" s="34" t="s">
        <v>48</v>
      </c>
      <c r="B24" s="34"/>
      <c r="C24" s="34"/>
      <c r="D24" s="34"/>
      <c r="E24" s="34"/>
      <c r="F24" s="34"/>
      <c r="G24" s="34"/>
      <c r="H24" s="34"/>
      <c r="I24" s="34"/>
    </row>
  </sheetData>
  <mergeCells count="3">
    <mergeCell ref="A1:H1"/>
    <mergeCell ref="A2:H2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2026-09-23T03:19:24Z</dcterms:created>
  <dc:creator>openpyxl</dc:creator>
  <dc:description/>
  <dc:language>en-US</dc:language>
  <cp:lastModifiedBy/>
  <dcterms:modified xsi:type="dcterms:W3CDTF">2026-09-23T03:19:24Z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